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0_Dashboard" sheetId="1" r:id="rId1"/>
    <sheet name="01_Leads" sheetId="2" r:id="rId2"/>
    <sheet name="02_Cases" sheetId="3" r:id="rId3"/>
    <sheet name="03_Provider_SLA" sheetId="4" r:id="rId4"/>
    <sheet name="04_Matching" sheetId="5" r:id="rId5"/>
    <sheet name="05_Quotes" sheetId="6" r:id="rId6"/>
    <sheet name="06_Deposits_Bookings" sheetId="7" r:id="rId7"/>
    <sheet name="07_Settlement_Ledger" sheetId="8" r:id="rId8"/>
    <sheet name="08_Provider_Ranking" sheetId="9" r:id="rId9"/>
    <sheet name="09_Channel_Ranking" sheetId="10" r:id="rId10"/>
    <sheet name="10_Risk_Log" sheetId="11" r:id="rId11"/>
  </sheets>
  <calcPr calcMode="auto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</sheetView>
  </sheetViews>
  <sheetData>
    <row r="1">
      <c r="A1" t="inlineStr">
        <is>
          <t>Metric</t>
        </is>
      </c>
      <c r="B1" t="inlineStr">
        <is>
          <t>Target</t>
        </is>
      </c>
      <c r="C1" t="inlineStr">
        <is>
          <t>Current</t>
        </is>
      </c>
      <c r="D1" t="inlineStr">
        <is>
          <t>Formula / Source</t>
        </is>
      </c>
      <c r="E1" t="inlineStr">
        <is>
          <t>Owner</t>
        </is>
      </c>
    </row>
    <row r="2">
      <c r="A2" t="inlineStr">
        <is>
          <t>Total leads</t>
        </is>
      </c>
      <c r="B2">
        <v>300</v>
      </c>
      <c r="C2">
        <f>COUNTA('01_Leads'!A2:A501)</f>
      </c>
      <c r="D2" t="inlineStr">
        <is>
          <t>01_Leads</t>
        </is>
      </c>
      <c r="E2" t="inlineStr">
        <is>
          <t>Growth</t>
        </is>
      </c>
    </row>
    <row r="3">
      <c r="A3" t="inlineStr">
        <is>
          <t>Qualified cases</t>
        </is>
      </c>
      <c r="B3">
        <v>150</v>
      </c>
      <c r="C3">
        <f>COUNTIF('02_Cases'!D2:D501,"qualified")+COUNTIF('02_Cases'!D2:D501,"quote_requested")+COUNTIF('02_Cases'!D2:D501,"quote_sent")+COUNTIF('02_Cases'!D2:D501,"deposit_paid")+COUNTIF('02_Cases'!D2:D501,"booking_confirmed")</f>
      </c>
      <c r="D3" t="inlineStr">
        <is>
          <t>02_Cases</t>
        </is>
      </c>
      <c r="E3" t="inlineStr">
        <is>
          <t>Ops</t>
        </is>
      </c>
    </row>
    <row r="4">
      <c r="A4" t="inlineStr">
        <is>
          <t>Quote requests</t>
        </is>
      </c>
      <c r="B4">
        <v>80</v>
      </c>
      <c r="C4">
        <f>COUNTIF('02_Cases'!D2:D501,"quote_requested")+COUNTIF('02_Cases'!D2:D501,"quote_sent")+COUNTIF('02_Cases'!D2:D501,"deposit_paid")+COUNTIF('02_Cases'!D2:D501,"booking_confirmed")</f>
      </c>
      <c r="D4" t="inlineStr">
        <is>
          <t>02_Cases</t>
        </is>
      </c>
      <c r="E4" t="inlineStr">
        <is>
          <t>Coordinator</t>
        </is>
      </c>
    </row>
    <row r="5">
      <c r="A5" t="inlineStr">
        <is>
          <t>Quotes sent</t>
        </is>
      </c>
      <c r="B5">
        <v>45</v>
      </c>
      <c r="C5">
        <f>COUNTIF('05_Quotes'!M2:M501,"sent")+COUNTIF('05_Quotes'!M2:M501,"accepted")</f>
      </c>
      <c r="D5" t="inlineStr">
        <is>
          <t>05_Quotes</t>
        </is>
      </c>
      <c r="E5" t="inlineStr">
        <is>
          <t>Provider Ops</t>
        </is>
      </c>
    </row>
    <row r="6">
      <c r="A6" t="inlineStr">
        <is>
          <t>Deposit paid</t>
        </is>
      </c>
      <c r="B6">
        <v>15</v>
      </c>
      <c r="C6">
        <f>COUNTIF('06_Deposits_Bookings'!G2:G501,"paid")</f>
      </c>
      <c r="D6" t="inlineStr">
        <is>
          <t>06_Deposits_Bookings</t>
        </is>
      </c>
      <c r="E6" t="inlineStr">
        <is>
          <t>Ops</t>
        </is>
      </c>
    </row>
    <row r="7">
      <c r="A7" t="inlineStr">
        <is>
          <t>Booking confirmed</t>
        </is>
      </c>
      <c r="B7">
        <v>15</v>
      </c>
      <c r="C7">
        <f>COUNTIF('06_Deposits_Bookings'!L2:L501,"confirmed")</f>
      </c>
      <c r="D7" t="inlineStr">
        <is>
          <t>06_Deposits_Bookings</t>
        </is>
      </c>
      <c r="E7" t="inlineStr">
        <is>
          <t>Ops</t>
        </is>
      </c>
    </row>
    <row r="8">
      <c r="A8" t="inlineStr">
        <is>
          <t>Unreconciled ledger rows</t>
        </is>
      </c>
      <c r="B8">
        <v>0</v>
      </c>
      <c r="C8">
        <f>COUNTIF('07_Settlement_Ledger'!K2:K501,"unreconciled")</f>
      </c>
      <c r="D8" t="inlineStr">
        <is>
          <t>07_Settlement_Ledger</t>
        </is>
      </c>
      <c r="E8" t="inlineStr">
        <is>
          <t>Finance</t>
        </is>
      </c>
    </row>
    <row r="9">
      <c r="A9" t="inlineStr">
        <is>
          <t>Compliance incidents</t>
        </is>
      </c>
      <c r="B9">
        <v>0</v>
      </c>
      <c r="C9">
        <f>COUNTIF('10_Risk_Log'!E2:E501,"open")</f>
      </c>
      <c r="D9" t="inlineStr">
        <is>
          <t>10_Risk_Log</t>
        </is>
      </c>
      <c r="E9" t="inlineStr">
        <is>
          <t>Compliance</t>
        </is>
      </c>
    </row>
    <row r="10">
      <c r="A10" t="inlineStr">
        <is>
          <t>Decision rule</t>
        </is>
      </c>
      <c r="B10" t="inlineStr">
        <is>
          <t>Scale only winning cells</t>
        </is>
      </c>
      <c r="C10" t="inlineStr">
        <is>
          <t>Provider + channel must be positive contribution and compliant</t>
        </is>
      </c>
      <c r="D10" t="inlineStr">
        <is>
          <t>Weekly review</t>
        </is>
      </c>
      <c r="E10" t="inlineStr">
        <is>
          <t>Growth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>
      <pane ySplit="1" topLeftCell="A2" activePane="bottomLeft" state="frozen"/>
    </sheetView>
  </sheetViews>
  <sheetData>
    <row r="1">
      <c r="A1" t="inlineStr">
        <is>
          <t>lead_id</t>
        </is>
      </c>
      <c r="B1" t="inlineStr">
        <is>
          <t>created_at</t>
        </is>
      </c>
      <c r="C1" t="inlineStr">
        <is>
          <t>locale</t>
        </is>
      </c>
      <c r="D1" t="inlineStr">
        <is>
          <t>market</t>
        </is>
      </c>
      <c r="E1" t="inlineStr">
        <is>
          <t>source</t>
        </is>
      </c>
      <c r="F1" t="inlineStr">
        <is>
          <t>campaign</t>
        </is>
      </c>
      <c r="G1" t="inlineStr">
        <is>
          <t>landing_path</t>
        </is>
      </c>
      <c r="H1" t="inlineStr">
        <is>
          <t>package_id</t>
        </is>
      </c>
      <c r="I1" t="inlineStr">
        <is>
          <t>name</t>
        </is>
      </c>
      <c r="J1" t="inlineStr">
        <is>
          <t>contact</t>
        </is>
      </c>
      <c r="K1" t="inlineStr">
        <is>
          <t>nationality</t>
        </is>
      </c>
      <c r="L1" t="inlineStr">
        <is>
          <t>residence_country</t>
        </is>
      </c>
      <c r="M1" t="inlineStr">
        <is>
          <t>preferred_language</t>
        </is>
      </c>
      <c r="N1" t="inlineStr">
        <is>
          <t>eligibility_status</t>
        </is>
      </c>
      <c r="O1" t="inlineStr">
        <is>
          <t>consent_medical_info</t>
        </is>
      </c>
      <c r="P1" t="inlineStr">
        <is>
          <t>consent_marketing</t>
        </is>
      </c>
    </row>
    <row r="2">
      <c r="A2" t="inlineStr">
        <is>
          <t>lead-0001</t>
        </is>
      </c>
      <c r="B2" t="inlineStr">
        <is>
          <t>2026-06-10</t>
        </is>
      </c>
      <c r="C2" t="inlineStr">
        <is>
          <t>jp</t>
        </is>
      </c>
      <c r="D2" t="inlineStr">
        <is>
          <t>japan</t>
        </is>
      </c>
      <c r="E2" t="inlineStr">
        <is>
          <t>paid_search</t>
        </is>
      </c>
      <c r="F2" t="inlineStr">
        <is>
          <t>jp_laser_toning_test</t>
        </is>
      </c>
      <c r="G2" t="inlineStr">
        <is>
          <t>/jp/korea-laser-toning-package</t>
        </is>
      </c>
      <c r="H2" t="inlineStr">
        <is>
          <t>jp-skin-01</t>
        </is>
      </c>
      <c r="I2" t="inlineStr">
        <is>
          <t>Beta Lead A</t>
        </is>
      </c>
      <c r="J2" t="inlineStr">
        <is>
          <t>line:sample-a</t>
        </is>
      </c>
      <c r="K2" t="inlineStr">
        <is>
          <t>Japan</t>
        </is>
      </c>
      <c r="L2" t="inlineStr">
        <is>
          <t>Japan</t>
        </is>
      </c>
      <c r="M2" t="inlineStr">
        <is>
          <t>ja</t>
        </is>
      </c>
      <c r="N2" t="inlineStr">
        <is>
          <t>eligible</t>
        </is>
      </c>
      <c r="O2" t="b">
        <v>1</v>
      </c>
      <c r="P2" t="b">
        <v>1</v>
      </c>
    </row>
    <row r="3">
      <c r="A3" t="inlineStr">
        <is>
          <t>lead-0002</t>
        </is>
      </c>
      <c r="B3" t="inlineStr">
        <is>
          <t>2026-06-10</t>
        </is>
      </c>
      <c r="C3" t="inlineStr">
        <is>
          <t>en</t>
        </is>
      </c>
      <c r="D3" t="inlineStr">
        <is>
          <t>taiwan</t>
        </is>
      </c>
      <c r="E3" t="inlineStr">
        <is>
          <t>seo</t>
        </is>
      </c>
      <c r="F3" t="inlineStr">
        <is>
          <t>tw_skin_booster</t>
        </is>
      </c>
      <c r="G3" t="inlineStr">
        <is>
          <t>/en/korea-skin-booster-package</t>
        </is>
      </c>
      <c r="H3" t="inlineStr">
        <is>
          <t>tw-skin-01</t>
        </is>
      </c>
      <c r="I3" t="inlineStr">
        <is>
          <t>Beta Lead B</t>
        </is>
      </c>
      <c r="J3" t="inlineStr">
        <is>
          <t>email:sample-b@example.com</t>
        </is>
      </c>
      <c r="K3" t="inlineStr">
        <is>
          <t>Taiwan</t>
        </is>
      </c>
      <c r="L3" t="inlineStr">
        <is>
          <t>Taiwan</t>
        </is>
      </c>
      <c r="M3" t="inlineStr">
        <is>
          <t>en</t>
        </is>
      </c>
      <c r="N3" t="inlineStr">
        <is>
          <t>eligible</t>
        </is>
      </c>
      <c r="O3" t="b">
        <v>1</v>
      </c>
      <c r="P3" t="b">
        <v>0</v>
      </c>
    </row>
    <row r="4">
      <c r="A4" t="inlineStr">
        <is>
          <t>lead-0003</t>
        </is>
      </c>
      <c r="B4" t="inlineStr">
        <is>
          <t>2026-06-10</t>
        </is>
      </c>
      <c r="C4" t="inlineStr">
        <is>
          <t>jp</t>
        </is>
      </c>
      <c r="D4" t="inlineStr">
        <is>
          <t>japan</t>
        </is>
      </c>
      <c r="E4" t="inlineStr">
        <is>
          <t>referral</t>
        </is>
      </c>
      <c r="F4" t="inlineStr">
        <is>
          <t>jp_weekend_skin</t>
        </is>
      </c>
      <c r="G4" t="inlineStr">
        <is>
          <t>/jp/seoul-anti-aging-skin-package</t>
        </is>
      </c>
      <c r="H4" t="inlineStr">
        <is>
          <t>jp-skin-02</t>
        </is>
      </c>
      <c r="I4" t="inlineStr">
        <is>
          <t>Beta Lead C</t>
        </is>
      </c>
      <c r="J4" t="inlineStr">
        <is>
          <t>whatsapp:sample-c</t>
        </is>
      </c>
      <c r="K4" t="inlineStr">
        <is>
          <t>Japan</t>
        </is>
      </c>
      <c r="L4" t="inlineStr">
        <is>
          <t>Japan</t>
        </is>
      </c>
      <c r="M4" t="inlineStr">
        <is>
          <t>ja</t>
        </is>
      </c>
      <c r="N4" t="inlineStr">
        <is>
          <t>eligible</t>
        </is>
      </c>
      <c r="O4" t="b">
        <v>1</v>
      </c>
      <c r="P4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P4"/>
  <sheetViews>
    <sheetView workbookViewId="0">
      <pane ySplit="1" topLeftCell="A2" activePane="bottomLeft" state="frozen"/>
    </sheetView>
  </sheetViews>
  <sheetData>
    <row r="1">
      <c r="A1" t="inlineStr">
        <is>
          <t>case_id</t>
        </is>
      </c>
      <c r="B1" t="inlineStr">
        <is>
          <t>lead_id</t>
        </is>
      </c>
      <c r="C1" t="inlineStr">
        <is>
          <t>owner</t>
        </is>
      </c>
      <c r="D1" t="inlineStr">
        <is>
          <t>status</t>
        </is>
      </c>
      <c r="E1" t="inlineStr">
        <is>
          <t>priority</t>
        </is>
      </c>
      <c r="F1" t="inlineStr">
        <is>
          <t>language</t>
        </is>
      </c>
      <c r="G1" t="inlineStr">
        <is>
          <t>procedure</t>
        </is>
      </c>
      <c r="H1" t="inlineStr">
        <is>
          <t>budget_band</t>
        </is>
      </c>
      <c r="I1" t="inlineStr">
        <is>
          <t>travel_start</t>
        </is>
      </c>
      <c r="J1" t="inlineStr">
        <is>
          <t>travel_end</t>
        </is>
      </c>
      <c r="K1" t="inlineStr">
        <is>
          <t>first_response_at</t>
        </is>
      </c>
      <c r="L1" t="inlineStr">
        <is>
          <t>last_contacted_at</t>
        </is>
      </c>
      <c r="M1" t="inlineStr">
        <is>
          <t>next_action_at</t>
        </is>
      </c>
      <c r="N1" t="inlineStr">
        <is>
          <t>matched_provider</t>
        </is>
      </c>
      <c r="O1" t="inlineStr">
        <is>
          <t>sla_status</t>
        </is>
      </c>
      <c r="P1" t="inlineStr">
        <is>
          <t>risk_flags</t>
        </is>
      </c>
    </row>
    <row r="2">
      <c r="A2" t="inlineStr">
        <is>
          <t>case-0001</t>
        </is>
      </c>
      <c r="B2" t="inlineStr">
        <is>
          <t>lead-0001</t>
        </is>
      </c>
      <c r="C2" t="inlineStr">
        <is>
          <t>Mina</t>
        </is>
      </c>
      <c r="D2" t="inlineStr">
        <is>
          <t>quote_sent</t>
        </is>
      </c>
      <c r="E2" t="inlineStr">
        <is>
          <t>high</t>
        </is>
      </c>
      <c r="F2" t="inlineStr">
        <is>
          <t>ja</t>
        </is>
      </c>
      <c r="G2" t="inlineStr">
        <is>
          <t>laser-toning</t>
        </is>
      </c>
      <c r="H2" t="inlineStr">
        <is>
          <t>$700-$1200</t>
        </is>
      </c>
      <c r="I2" t="inlineStr">
        <is>
          <t>2026-07-10</t>
        </is>
      </c>
      <c r="J2" t="inlineStr">
        <is>
          <t>2026-07-12</t>
        </is>
      </c>
      <c r="K2" t="inlineStr">
        <is>
          <t>2026-06-10 09:06</t>
        </is>
      </c>
      <c r="L2" t="inlineStr">
        <is>
          <t>2026-06-10 11:20</t>
        </is>
      </c>
      <c r="M2" t="inlineStr">
        <is>
          <t>2026-06-11 09:00</t>
        </is>
      </c>
      <c r="N2" t="inlineStr">
        <is>
          <t>Lumen Skin Center</t>
        </is>
      </c>
      <c r="O2" t="inlineStr">
        <is>
          <t>on_track</t>
        </is>
      </c>
      <c r="P2"/>
    </row>
    <row r="3">
      <c r="A3" t="inlineStr">
        <is>
          <t>case-0002</t>
        </is>
      </c>
      <c r="B3" t="inlineStr">
        <is>
          <t>lead-0002</t>
        </is>
      </c>
      <c r="C3" t="inlineStr">
        <is>
          <t>Jin</t>
        </is>
      </c>
      <c r="D3" t="inlineStr">
        <is>
          <t>matching_ready</t>
        </is>
      </c>
      <c r="E3" t="inlineStr">
        <is>
          <t>normal</t>
        </is>
      </c>
      <c r="F3" t="inlineStr">
        <is>
          <t>en</t>
        </is>
      </c>
      <c r="G3" t="inlineStr">
        <is>
          <t>skin-booster</t>
        </is>
      </c>
      <c r="H3" t="inlineStr">
        <is>
          <t>$900-$1800</t>
        </is>
      </c>
      <c r="I3" t="inlineStr">
        <is>
          <t>2026-07-18</t>
        </is>
      </c>
      <c r="J3" t="inlineStr">
        <is>
          <t>2026-07-21</t>
        </is>
      </c>
      <c r="K3" t="inlineStr">
        <is>
          <t>2026-06-10 10:02</t>
        </is>
      </c>
      <c r="L3" t="inlineStr">
        <is>
          <t>2026-06-10 10:40</t>
        </is>
      </c>
      <c r="M3" t="inlineStr">
        <is>
          <t>2026-06-10 14:00</t>
        </is>
      </c>
      <c r="N3" t="inlineStr">
        <is>
          <t>TBD</t>
        </is>
      </c>
      <c r="O3" t="inlineStr">
        <is>
          <t>on_track</t>
        </is>
      </c>
      <c r="P3"/>
    </row>
    <row r="4">
      <c r="A4" t="inlineStr">
        <is>
          <t>case-0003</t>
        </is>
      </c>
      <c r="B4" t="inlineStr">
        <is>
          <t>lead-0003</t>
        </is>
      </c>
      <c r="C4" t="inlineStr">
        <is>
          <t>Mina</t>
        </is>
      </c>
      <c r="D4" t="inlineStr">
        <is>
          <t>deposit_paid</t>
        </is>
      </c>
      <c r="E4" t="inlineStr">
        <is>
          <t>high</t>
        </is>
      </c>
      <c r="F4" t="inlineStr">
        <is>
          <t>ja</t>
        </is>
      </c>
      <c r="G4" t="inlineStr">
        <is>
          <t>skin-booster</t>
        </is>
      </c>
      <c r="H4" t="inlineStr">
        <is>
          <t>$1200-$2200</t>
        </is>
      </c>
      <c r="I4" t="inlineStr">
        <is>
          <t>2026-07-05</t>
        </is>
      </c>
      <c r="J4" t="inlineStr">
        <is>
          <t>2026-07-08</t>
        </is>
      </c>
      <c r="K4" t="inlineStr">
        <is>
          <t>2026-06-10 10:35</t>
        </is>
      </c>
      <c r="L4" t="inlineStr">
        <is>
          <t>2026-06-10 13:15</t>
        </is>
      </c>
      <c r="M4" t="inlineStr">
        <is>
          <t>2026-07-03 09:00</t>
        </is>
      </c>
      <c r="N4" t="inlineStr">
        <is>
          <t>Prime Skin Gangnam</t>
        </is>
      </c>
      <c r="O4" t="inlineStr">
        <is>
          <t>on_track</t>
        </is>
      </c>
      <c r="P4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P6"/>
  <sheetViews>
    <sheetView workbookViewId="0">
      <pane ySplit="1" topLeftCell="A2" activePane="bottomLeft" state="frozen"/>
    </sheetView>
  </sheetViews>
  <sheetData>
    <row r="1">
      <c r="A1" t="inlineStr">
        <is>
          <t>provider_id</t>
        </is>
      </c>
      <c r="B1" t="inlineStr">
        <is>
          <t>provider_name</t>
        </is>
      </c>
      <c r="C1" t="inlineStr">
        <is>
          <t>region</t>
        </is>
      </c>
      <c r="D1" t="inlineStr">
        <is>
          <t>specialty</t>
        </is>
      </c>
      <c r="E1" t="inlineStr">
        <is>
          <t>registration_verified</t>
        </is>
      </c>
      <c r="F1" t="inlineStr">
        <is>
          <t>insurance_verified</t>
        </is>
      </c>
      <c r="G1" t="inlineStr">
        <is>
          <t>languages</t>
        </is>
      </c>
      <c r="H1" t="inlineStr">
        <is>
          <t>SLA_hours</t>
        </is>
      </c>
      <c r="I1" t="inlineStr">
        <is>
          <t>urgent_SLA_hours</t>
        </is>
      </c>
      <c r="J1" t="inlineStr">
        <is>
          <t>quote_template_ready</t>
        </is>
      </c>
      <c r="K1" t="inlineStr">
        <is>
          <t>deposit_policy_ready</t>
        </is>
      </c>
      <c r="L1" t="inlineStr">
        <is>
          <t>sla_status</t>
        </is>
      </c>
      <c r="M1" t="inlineStr">
        <is>
          <t>active</t>
        </is>
      </c>
      <c r="N1" t="inlineStr">
        <is>
          <t>beta_score</t>
        </is>
      </c>
      <c r="O1" t="inlineStr">
        <is>
          <t>owner</t>
        </is>
      </c>
      <c r="P1" t="inlineStr">
        <is>
          <t>next_step</t>
        </is>
      </c>
    </row>
    <row r="2">
      <c r="A2" t="inlineStr">
        <is>
          <t>prov-001</t>
        </is>
      </c>
      <c r="B2" t="inlineStr">
        <is>
          <t>Lumen Skin Center</t>
        </is>
      </c>
      <c r="C2" t="inlineStr">
        <is>
          <t>Gangnam</t>
        </is>
      </c>
      <c r="D2" t="inlineStr">
        <is>
          <t>Dermatology</t>
        </is>
      </c>
      <c r="E2" t="b">
        <v>1</v>
      </c>
      <c r="F2" t="b">
        <v>1</v>
      </c>
      <c r="G2" t="inlineStr">
        <is>
          <t>ja,en,ko,zh</t>
        </is>
      </c>
      <c r="H2">
        <v>6</v>
      </c>
      <c r="I2">
        <v>4</v>
      </c>
      <c r="J2" t="b">
        <v>1</v>
      </c>
      <c r="K2" t="b">
        <v>1</v>
      </c>
      <c r="L2" t="inlineStr">
        <is>
          <t>draft</t>
        </is>
      </c>
      <c r="M2" t="b">
        <v>1</v>
      </c>
      <c r="N2">
        <v>92</v>
      </c>
      <c r="O2" t="inlineStr">
        <is>
          <t>Biz</t>
        </is>
      </c>
      <c r="P2" t="inlineStr">
        <is>
          <t>Send SLA addendum</t>
        </is>
      </c>
    </row>
    <row r="3">
      <c r="A3" t="inlineStr">
        <is>
          <t>prov-002</t>
        </is>
      </c>
      <c r="B3" t="inlineStr">
        <is>
          <t>Prime Skin Gangnam</t>
        </is>
      </c>
      <c r="C3" t="inlineStr">
        <is>
          <t>Gangnam</t>
        </is>
      </c>
      <c r="D3" t="inlineStr">
        <is>
          <t>Dermatology</t>
        </is>
      </c>
      <c r="E3" t="b">
        <v>1</v>
      </c>
      <c r="F3" t="b">
        <v>1</v>
      </c>
      <c r="G3" t="inlineStr">
        <is>
          <t>ja,en,ko</t>
        </is>
      </c>
      <c r="H3">
        <v>8</v>
      </c>
      <c r="I3">
        <v>4</v>
      </c>
      <c r="J3" t="b">
        <v>1</v>
      </c>
      <c r="K3" t="b">
        <v>0</v>
      </c>
      <c r="L3" t="inlineStr">
        <is>
          <t>negotiating</t>
        </is>
      </c>
      <c r="M3" t="b">
        <v>1</v>
      </c>
      <c r="N3">
        <v>86</v>
      </c>
      <c r="O3" t="inlineStr">
        <is>
          <t>Biz</t>
        </is>
      </c>
      <c r="P3" t="inlineStr">
        <is>
          <t>Confirm deposit policy</t>
        </is>
      </c>
    </row>
    <row r="4">
      <c r="A4" t="inlineStr">
        <is>
          <t>prov-003</t>
        </is>
      </c>
      <c r="B4" t="inlineStr">
        <is>
          <t>Seoul Glow Dermatology</t>
        </is>
      </c>
      <c r="C4" t="inlineStr">
        <is>
          <t>Gangnam</t>
        </is>
      </c>
      <c r="D4" t="inlineStr">
        <is>
          <t>Dermatology</t>
        </is>
      </c>
      <c r="E4" t="b">
        <v>1</v>
      </c>
      <c r="F4" t="b">
        <v>1</v>
      </c>
      <c r="G4" t="inlineStr">
        <is>
          <t>en,zh,ko</t>
        </is>
      </c>
      <c r="H4">
        <v>12</v>
      </c>
      <c r="I4">
        <v>4</v>
      </c>
      <c r="J4" t="b">
        <v>1</v>
      </c>
      <c r="K4" t="b">
        <v>1</v>
      </c>
      <c r="L4" t="inlineStr">
        <is>
          <t>sent</t>
        </is>
      </c>
      <c r="M4" t="b">
        <v>1</v>
      </c>
      <c r="N4">
        <v>84</v>
      </c>
      <c r="O4" t="inlineStr">
        <is>
          <t>Biz</t>
        </is>
      </c>
      <c r="P4" t="inlineStr">
        <is>
          <t>Collect signed copy</t>
        </is>
      </c>
    </row>
    <row r="5">
      <c r="A5" t="inlineStr">
        <is>
          <t>prov-004</t>
        </is>
      </c>
      <c r="B5" t="inlineStr">
        <is>
          <t>Apgujeong Laser Clinic</t>
        </is>
      </c>
      <c r="C5" t="inlineStr">
        <is>
          <t>Gangnam</t>
        </is>
      </c>
      <c r="D5" t="inlineStr">
        <is>
          <t>Dermatology</t>
        </is>
      </c>
      <c r="E5" t="b">
        <v>1</v>
      </c>
      <c r="F5" t="b">
        <v>0</v>
      </c>
      <c r="G5" t="inlineStr">
        <is>
          <t>ja,en,ko</t>
        </is>
      </c>
      <c r="H5">
        <v>12</v>
      </c>
      <c r="I5">
        <v>6</v>
      </c>
      <c r="J5" t="b">
        <v>1</v>
      </c>
      <c r="K5" t="b">
        <v>0</v>
      </c>
      <c r="L5" t="inlineStr">
        <is>
          <t>draft</t>
        </is>
      </c>
      <c r="M5" t="b">
        <v>0</v>
      </c>
      <c r="N5">
        <v>72</v>
      </c>
      <c r="O5" t="inlineStr">
        <is>
          <t>Ops</t>
        </is>
      </c>
      <c r="P5" t="inlineStr">
        <is>
          <t>Verify insurance</t>
        </is>
      </c>
    </row>
    <row r="6">
      <c r="A6" t="inlineStr">
        <is>
          <t>prov-005</t>
        </is>
      </c>
      <c r="B6" t="inlineStr">
        <is>
          <t>Atelier Recovery Clinic</t>
        </is>
      </c>
      <c r="C6" t="inlineStr">
        <is>
          <t>Hongdae</t>
        </is>
      </c>
      <c r="D6" t="inlineStr">
        <is>
          <t>Recovery</t>
        </is>
      </c>
      <c r="E6" t="b">
        <v>1</v>
      </c>
      <c r="F6" t="b">
        <v>1</v>
      </c>
      <c r="G6" t="inlineStr">
        <is>
          <t>ja,en,zh,vi</t>
        </is>
      </c>
      <c r="H6">
        <v>8</v>
      </c>
      <c r="I6">
        <v>4</v>
      </c>
      <c r="J6" t="b">
        <v>1</v>
      </c>
      <c r="K6" t="b">
        <v>1</v>
      </c>
      <c r="L6" t="inlineStr">
        <is>
          <t>sent</t>
        </is>
      </c>
      <c r="M6" t="b">
        <v>1</v>
      </c>
      <c r="N6">
        <v>88</v>
      </c>
      <c r="O6" t="inlineStr">
        <is>
          <t>Ops</t>
        </is>
      </c>
      <c r="P6" t="inlineStr">
        <is>
          <t>Confirm non-medical margin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1" topLeftCell="A2" activePane="bottomLeft" state="frozen"/>
    </sheetView>
  </sheetViews>
  <sheetData>
    <row r="1">
      <c r="A1" t="inlineStr">
        <is>
          <t>case_id</t>
        </is>
      </c>
      <c r="B1" t="inlineStr">
        <is>
          <t>provider_id</t>
        </is>
      </c>
      <c r="C1" t="inlineStr">
        <is>
          <t>rank</t>
        </is>
      </c>
      <c r="D1" t="inlineStr">
        <is>
          <t>clinical_fit</t>
        </is>
      </c>
      <c r="E1" t="inlineStr">
        <is>
          <t>availability</t>
        </is>
      </c>
      <c r="F1" t="inlineStr">
        <is>
          <t>language_fit</t>
        </is>
      </c>
      <c r="G1" t="inlineStr">
        <is>
          <t>price_fit</t>
        </is>
      </c>
      <c r="H1" t="inlineStr">
        <is>
          <t>SLA_score</t>
        </is>
      </c>
      <c r="I1" t="inlineStr">
        <is>
          <t>total_score</t>
        </is>
      </c>
      <c r="J1" t="inlineStr">
        <is>
          <t>exclusion_reason</t>
        </is>
      </c>
    </row>
    <row r="2">
      <c r="A2" t="inlineStr">
        <is>
          <t>case-0001</t>
        </is>
      </c>
      <c r="B2" t="inlineStr">
        <is>
          <t>prov-001</t>
        </is>
      </c>
      <c r="C2">
        <v>1</v>
      </c>
      <c r="D2">
        <v>94</v>
      </c>
      <c r="E2">
        <v>86</v>
      </c>
      <c r="F2">
        <v>96</v>
      </c>
      <c r="G2">
        <v>88</v>
      </c>
      <c r="H2">
        <v>90</v>
      </c>
      <c r="I2">
        <v>91.2</v>
      </c>
      <c r="J2"/>
    </row>
    <row r="3">
      <c r="A3" t="inlineStr">
        <is>
          <t>case-0001</t>
        </is>
      </c>
      <c r="B3" t="inlineStr">
        <is>
          <t>prov-004</t>
        </is>
      </c>
      <c r="C3">
        <v>2</v>
      </c>
      <c r="D3">
        <v>88</v>
      </c>
      <c r="E3">
        <v>90</v>
      </c>
      <c r="F3">
        <v>94</v>
      </c>
      <c r="G3">
        <v>84</v>
      </c>
      <c r="H3">
        <v>72</v>
      </c>
      <c r="I3">
        <v>85.6</v>
      </c>
      <c r="J3" t="inlineStr">
        <is>
          <t>insurance pending</t>
        </is>
      </c>
    </row>
    <row r="4">
      <c r="A4" t="inlineStr">
        <is>
          <t>case-0002</t>
        </is>
      </c>
      <c r="B4" t="inlineStr">
        <is>
          <t>prov-003</t>
        </is>
      </c>
      <c r="C4">
        <v>1</v>
      </c>
      <c r="D4">
        <v>90</v>
      </c>
      <c r="E4">
        <v>80</v>
      </c>
      <c r="F4">
        <v>85</v>
      </c>
      <c r="G4">
        <v>82</v>
      </c>
      <c r="H4">
        <v>84</v>
      </c>
      <c r="I4">
        <v>84.8</v>
      </c>
      <c r="J4"/>
    </row>
    <row r="5">
      <c r="A5" t="inlineStr">
        <is>
          <t>case-0003</t>
        </is>
      </c>
      <c r="B5" t="inlineStr">
        <is>
          <t>prov-002</t>
        </is>
      </c>
      <c r="C5">
        <v>1</v>
      </c>
      <c r="D5">
        <v>92</v>
      </c>
      <c r="E5">
        <v>88</v>
      </c>
      <c r="F5">
        <v>96</v>
      </c>
      <c r="G5">
        <v>86</v>
      </c>
      <c r="H5">
        <v>86</v>
      </c>
      <c r="I5">
        <v>89.0</v>
      </c>
      <c r="J5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</sheetView>
  </sheetViews>
  <sheetData>
    <row r="1">
      <c r="A1" t="inlineStr">
        <is>
          <t>quote_id</t>
        </is>
      </c>
      <c r="B1" t="inlineStr">
        <is>
          <t>case_id</t>
        </is>
      </c>
      <c r="C1" t="inlineStr">
        <is>
          <t>provider_id</t>
        </is>
      </c>
      <c r="D1" t="inlineStr">
        <is>
          <t>medical_fee</t>
        </is>
      </c>
      <c r="E1" t="inlineStr">
        <is>
          <t>nonmedical_fee</t>
        </is>
      </c>
      <c r="F1" t="inlineStr">
        <is>
          <t>currency</t>
        </is>
      </c>
      <c r="G1" t="inlineStr">
        <is>
          <t>commission_rate</t>
        </is>
      </c>
      <c r="H1" t="inlineStr">
        <is>
          <t>cap_rate</t>
        </is>
      </c>
      <c r="I1" t="inlineStr">
        <is>
          <t>commission_amount</t>
        </is>
      </c>
      <c r="J1" t="inlineStr">
        <is>
          <t>deposit_amount</t>
        </is>
      </c>
      <c r="K1" t="inlineStr">
        <is>
          <t>valid_until</t>
        </is>
      </c>
      <c r="L1" t="inlineStr">
        <is>
          <t>sent_at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quote-0001</t>
        </is>
      </c>
      <c r="B2" t="inlineStr">
        <is>
          <t>case-0001</t>
        </is>
      </c>
      <c r="C2" t="inlineStr">
        <is>
          <t>prov-001</t>
        </is>
      </c>
      <c r="D2">
        <v>980</v>
      </c>
      <c r="E2">
        <v>80</v>
      </c>
      <c r="F2" t="inlineStr">
        <is>
          <t>USD</t>
        </is>
      </c>
      <c r="G2">
        <v>0.15</v>
      </c>
      <c r="H2">
        <v>0.3</v>
      </c>
      <c r="I2">
        <f>D2*G2</f>
      </c>
      <c r="J2">
        <v>150</v>
      </c>
      <c r="K2" t="inlineStr">
        <is>
          <t>2026-06-20</t>
        </is>
      </c>
      <c r="L2" t="inlineStr">
        <is>
          <t>2026-06-10 11:00</t>
        </is>
      </c>
      <c r="M2" t="inlineStr">
        <is>
          <t>sent</t>
        </is>
      </c>
      <c r="N2" t="inlineStr">
        <is>
          <t>Final plan may change after provider consultation.</t>
        </is>
      </c>
    </row>
    <row r="3">
      <c r="A3" t="inlineStr">
        <is>
          <t>quote-0002</t>
        </is>
      </c>
      <c r="B3" t="inlineStr">
        <is>
          <t>case-0003</t>
        </is>
      </c>
      <c r="C3" t="inlineStr">
        <is>
          <t>prov-002</t>
        </is>
      </c>
      <c r="D3">
        <v>1600</v>
      </c>
      <c r="E3">
        <v>120</v>
      </c>
      <c r="F3" t="inlineStr">
        <is>
          <t>USD</t>
        </is>
      </c>
      <c r="G3">
        <v>0.16</v>
      </c>
      <c r="H3">
        <v>0.3</v>
      </c>
      <c r="I3">
        <f>D3*G3</f>
      </c>
      <c r="J3">
        <v>300</v>
      </c>
      <c r="K3" t="inlineStr">
        <is>
          <t>2026-06-22</t>
        </is>
      </c>
      <c r="L3" t="inlineStr">
        <is>
          <t>2026-06-10 12:50</t>
        </is>
      </c>
      <c r="M3" t="inlineStr">
        <is>
          <t>accepted</t>
        </is>
      </c>
      <c r="N3" t="inlineStr">
        <is>
          <t>Deposit paid; visit confirmation pending.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ySplit="1" topLeftCell="A2" activePane="bottomLeft" state="frozen"/>
    </sheetView>
  </sheetViews>
  <sheetData>
    <row r="1">
      <c r="A1" t="inlineStr">
        <is>
          <t>payment_id</t>
        </is>
      </c>
      <c r="B1" t="inlineStr">
        <is>
          <t>booking_id</t>
        </is>
      </c>
      <c r="C1" t="inlineStr">
        <is>
          <t>case_id</t>
        </is>
      </c>
      <c r="D1" t="inlineStr">
        <is>
          <t>quote_id</t>
        </is>
      </c>
      <c r="E1" t="inlineStr">
        <is>
          <t>payment_type</t>
        </is>
      </c>
      <c r="F1" t="inlineStr">
        <is>
          <t>deposit_amount</t>
        </is>
      </c>
      <c r="G1" t="inlineStr">
        <is>
          <t>deposit_status</t>
        </is>
      </c>
      <c r="H1" t="inlineStr">
        <is>
          <t>paid_at</t>
        </is>
      </c>
      <c r="I1" t="inlineStr">
        <is>
          <t>transaction_ref</t>
        </is>
      </c>
      <c r="J1" t="inlineStr">
        <is>
          <t>scheduled_at</t>
        </is>
      </c>
      <c r="K1" t="inlineStr">
        <is>
          <t>visit_type</t>
        </is>
      </c>
      <c r="L1" t="inlineStr">
        <is>
          <t>booking_status</t>
        </is>
      </c>
      <c r="M1" t="inlineStr">
        <is>
          <t>refund_status</t>
        </is>
      </c>
    </row>
    <row r="2">
      <c r="A2" t="inlineStr">
        <is>
          <t>pay-0001</t>
        </is>
      </c>
      <c r="B2" t="inlineStr">
        <is>
          <t>book-0001</t>
        </is>
      </c>
      <c r="C2" t="inlineStr">
        <is>
          <t>case-0003</t>
        </is>
      </c>
      <c r="D2" t="inlineStr">
        <is>
          <t>quote-0002</t>
        </is>
      </c>
      <c r="E2" t="inlineStr">
        <is>
          <t>deposit</t>
        </is>
      </c>
      <c r="F2">
        <v>300</v>
      </c>
      <c r="G2" t="inlineStr">
        <is>
          <t>paid</t>
        </is>
      </c>
      <c r="H2" t="inlineStr">
        <is>
          <t>2026-06-10 13:10</t>
        </is>
      </c>
      <c r="I2" t="inlineStr">
        <is>
          <t>manual-beta-0001</t>
        </is>
      </c>
      <c r="J2" t="inlineStr">
        <is>
          <t>2026-07-06 10:30</t>
        </is>
      </c>
      <c r="K2" t="inlineStr">
        <is>
          <t>procedure</t>
        </is>
      </c>
      <c r="L2" t="inlineStr">
        <is>
          <t>confirmed</t>
        </is>
      </c>
      <c r="M2" t="inlineStr">
        <is>
          <t>none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</sheetView>
  </sheetViews>
  <sheetData>
    <row r="1">
      <c r="A1" t="inlineStr">
        <is>
          <t>ledger_id</t>
        </is>
      </c>
      <c r="B1" t="inlineStr">
        <is>
          <t>provider_id</t>
        </is>
      </c>
      <c r="C1" t="inlineStr">
        <is>
          <t>case_id</t>
        </is>
      </c>
      <c r="D1" t="inlineStr">
        <is>
          <t>quote_id</t>
        </is>
      </c>
      <c r="E1" t="inlineStr">
        <is>
          <t>gross_medical_fee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partner_payout</t>
        </is>
      </c>
      <c r="I1" t="inlineStr">
        <is>
          <t>payment_fee</t>
        </is>
      </c>
      <c r="J1" t="inlineStr">
        <is>
          <t>refund_or_dispute_cost</t>
        </is>
      </c>
      <c r="K1" t="inlineStr">
        <is>
          <t>settlement_status</t>
        </is>
      </c>
      <c r="L1" t="inlineStr">
        <is>
          <t>platform_net</t>
        </is>
      </c>
    </row>
    <row r="2">
      <c r="A2" t="inlineStr">
        <is>
          <t>ledger-0001</t>
        </is>
      </c>
      <c r="B2" t="inlineStr">
        <is>
          <t>prov-002</t>
        </is>
      </c>
      <c r="C2" t="inlineStr">
        <is>
          <t>case-0003</t>
        </is>
      </c>
      <c r="D2" t="inlineStr">
        <is>
          <t>quote-0002</t>
        </is>
      </c>
      <c r="E2">
        <v>1600</v>
      </c>
      <c r="F2">
        <v>0.16</v>
      </c>
      <c r="G2">
        <f>E2*F2</f>
      </c>
      <c r="H2">
        <v>0</v>
      </c>
      <c r="I2">
        <v>9</v>
      </c>
      <c r="J2">
        <v>0</v>
      </c>
      <c r="K2" t="inlineStr">
        <is>
          <t>reconciled</t>
        </is>
      </c>
      <c r="L2">
        <f>G2-H2-I2-J2</f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pane ySplit="1" topLeftCell="A2" activePane="bottomLeft" state="frozen"/>
    </sheetView>
  </sheetViews>
  <sheetData>
    <row r="1">
      <c r="A1" t="inlineStr">
        <is>
          <t>provider_id</t>
        </is>
      </c>
      <c r="B1" t="inlineStr">
        <is>
          <t>provider_name</t>
        </is>
      </c>
      <c r="C1" t="inlineStr">
        <is>
          <t>leads_matched</t>
        </is>
      </c>
      <c r="D1" t="inlineStr">
        <is>
          <t>quotes_sent</t>
        </is>
      </c>
      <c r="E1" t="inlineStr">
        <is>
          <t>quote_rate</t>
        </is>
      </c>
      <c r="F1" t="inlineStr">
        <is>
          <t>deposit_count</t>
        </is>
      </c>
      <c r="G1" t="inlineStr">
        <is>
          <t>deposit_rate</t>
        </is>
      </c>
      <c r="H1" t="inlineStr">
        <is>
          <t>SLA_breach_rate</t>
        </is>
      </c>
      <c r="I1" t="inlineStr">
        <is>
          <t>complaint_count</t>
        </is>
      </c>
      <c r="J1" t="inlineStr">
        <is>
          <t>rank_score</t>
        </is>
      </c>
      <c r="K1" t="inlineStr">
        <is>
          <t>tier</t>
        </is>
      </c>
    </row>
    <row r="2">
      <c r="A2" t="inlineStr">
        <is>
          <t>prov-001</t>
        </is>
      </c>
      <c r="B2" t="inlineStr">
        <is>
          <t>Lumen Skin Center</t>
        </is>
      </c>
      <c r="C2">
        <v>1</v>
      </c>
      <c r="D2">
        <v>1</v>
      </c>
      <c r="E2">
        <f>D2/C2</f>
      </c>
      <c r="F2">
        <v>0</v>
      </c>
      <c r="G2">
        <f>F2/C2</f>
      </c>
      <c r="H2">
        <v>0</v>
      </c>
      <c r="I2">
        <v>0</v>
      </c>
      <c r="J2">
        <v>82</v>
      </c>
      <c r="K2" t="inlineStr">
        <is>
          <t>B</t>
        </is>
      </c>
    </row>
    <row r="3">
      <c r="A3" t="inlineStr">
        <is>
          <t>prov-002</t>
        </is>
      </c>
      <c r="B3" t="inlineStr">
        <is>
          <t>Prime Skin Gangnam</t>
        </is>
      </c>
      <c r="C3">
        <v>1</v>
      </c>
      <c r="D3">
        <v>1</v>
      </c>
      <c r="E3">
        <f>D3/C3</f>
      </c>
      <c r="F3">
        <v>1</v>
      </c>
      <c r="G3">
        <f>F3/C3</f>
      </c>
      <c r="H3">
        <v>0</v>
      </c>
      <c r="I3">
        <v>0</v>
      </c>
      <c r="J3">
        <v>94</v>
      </c>
      <c r="K3" t="inlineStr">
        <is>
          <t>A</t>
        </is>
      </c>
    </row>
    <row r="4">
      <c r="A4" t="inlineStr">
        <is>
          <t>prov-003</t>
        </is>
      </c>
      <c r="B4" t="inlineStr">
        <is>
          <t>Seoul Glow Dermatology</t>
        </is>
      </c>
      <c r="C4">
        <v>1</v>
      </c>
      <c r="D4">
        <v>0</v>
      </c>
      <c r="E4">
        <f>D4/C4</f>
      </c>
      <c r="F4">
        <v>0</v>
      </c>
      <c r="G4">
        <f>F4/C4</f>
      </c>
      <c r="H4">
        <v>0</v>
      </c>
      <c r="I4">
        <v>0</v>
      </c>
      <c r="J4">
        <v>70</v>
      </c>
      <c r="K4" t="inlineStr">
        <is>
          <t>B</t>
        </is>
      </c>
    </row>
    <row r="5">
      <c r="A5" t="inlineStr">
        <is>
          <t>prov-004</t>
        </is>
      </c>
      <c r="B5" t="inlineStr">
        <is>
          <t>Apgujeong Laser Clinic</t>
        </is>
      </c>
      <c r="C5">
        <v>1</v>
      </c>
      <c r="D5">
        <v>0</v>
      </c>
      <c r="E5">
        <f>D5/C5</f>
      </c>
      <c r="F5">
        <v>0</v>
      </c>
      <c r="G5">
        <f>F5/C5</f>
      </c>
      <c r="H5">
        <v>1</v>
      </c>
      <c r="I5">
        <v>0</v>
      </c>
      <c r="J5">
        <v>48</v>
      </c>
      <c r="K5" t="inlineStr">
        <is>
          <t>C</t>
        </is>
      </c>
    </row>
    <row r="6">
      <c r="A6" t="inlineStr">
        <is>
          <t>prov-005</t>
        </is>
      </c>
      <c r="B6" t="inlineStr">
        <is>
          <t>Atelier Recovery Clinic</t>
        </is>
      </c>
      <c r="C6">
        <v>0</v>
      </c>
      <c r="D6">
        <v>0</v>
      </c>
      <c r="E6"/>
      <c r="F6">
        <v>0</v>
      </c>
      <c r="G6"/>
      <c r="H6">
        <v>0</v>
      </c>
      <c r="I6">
        <v>0</v>
      </c>
      <c r="J6">
        <v>76</v>
      </c>
      <c r="K6" t="inlineStr">
        <is>
          <t>B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</sheetView>
  </sheetViews>
  <sheetData>
    <row r="1">
      <c r="A1" t="inlineStr">
        <is>
          <t>source</t>
        </is>
      </c>
      <c r="B1" t="inlineStr">
        <is>
          <t>campaign</t>
        </is>
      </c>
      <c r="C1" t="inlineStr">
        <is>
          <t>leads</t>
        </is>
      </c>
      <c r="D1" t="inlineStr">
        <is>
          <t>qualified_rate</t>
        </is>
      </c>
      <c r="E1" t="inlineStr">
        <is>
          <t>quote_rate</t>
        </is>
      </c>
      <c r="F1" t="inlineStr">
        <is>
          <t>deposit_rate</t>
        </is>
      </c>
      <c r="G1" t="inlineStr">
        <is>
          <t>CAC</t>
        </is>
      </c>
      <c r="H1" t="inlineStr">
        <is>
          <t>platform_revenue</t>
        </is>
      </c>
      <c r="I1" t="inlineStr">
        <is>
          <t>contribution_profit</t>
        </is>
      </c>
      <c r="J1" t="inlineStr">
        <is>
          <t>budget_action</t>
        </is>
      </c>
    </row>
    <row r="2">
      <c r="A2" t="inlineStr">
        <is>
          <t>paid_search</t>
        </is>
      </c>
      <c r="B2" t="inlineStr">
        <is>
          <t>jp_laser_toning_test</t>
        </is>
      </c>
      <c r="C2">
        <v>1</v>
      </c>
      <c r="D2">
        <v>1</v>
      </c>
      <c r="E2">
        <v>1</v>
      </c>
      <c r="F2">
        <v>0</v>
      </c>
      <c r="G2">
        <v>45</v>
      </c>
      <c r="H2">
        <v>147</v>
      </c>
      <c r="I2">
        <v>82</v>
      </c>
      <c r="J2" t="inlineStr">
        <is>
          <t>continue test</t>
        </is>
      </c>
    </row>
    <row r="3">
      <c r="A3" t="inlineStr">
        <is>
          <t>seo</t>
        </is>
      </c>
      <c r="B3" t="inlineStr">
        <is>
          <t>tw_skin_booster</t>
        </is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 t="inlineStr">
        <is>
          <t>observe</t>
        </is>
      </c>
    </row>
    <row r="4">
      <c r="A4" t="inlineStr">
        <is>
          <t>referral</t>
        </is>
      </c>
      <c r="B4" t="inlineStr">
        <is>
          <t>jp_weekend_skin</t>
        </is>
      </c>
      <c r="C4">
        <v>1</v>
      </c>
      <c r="D4">
        <v>1</v>
      </c>
      <c r="E4">
        <v>1</v>
      </c>
      <c r="F4">
        <v>1</v>
      </c>
      <c r="G4">
        <v>20</v>
      </c>
      <c r="H4">
        <v>247</v>
      </c>
      <c r="I4">
        <v>198</v>
      </c>
      <c r="J4" t="inlineStr">
        <is>
          <t>increase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</sheetView>
  </sheetViews>
  <sheetData>
    <row r="1">
      <c r="A1" t="inlineStr">
        <is>
          <t>issue_id</t>
        </is>
      </c>
      <c r="B1" t="inlineStr">
        <is>
          <t>created_at</t>
        </is>
      </c>
      <c r="C1" t="inlineStr">
        <is>
          <t>case_id</t>
        </is>
      </c>
      <c r="D1" t="inlineStr">
        <is>
          <t>provider_id</t>
        </is>
      </c>
      <c r="E1" t="inlineStr">
        <is>
          <t>risk_type</t>
        </is>
      </c>
      <c r="F1" t="inlineStr">
        <is>
          <t>severity</t>
        </is>
      </c>
      <c r="G1" t="inlineStr">
        <is>
          <t>owner</t>
        </is>
      </c>
      <c r="H1" t="inlineStr">
        <is>
          <t>status</t>
        </is>
      </c>
      <c r="I1" t="inlineStr">
        <is>
          <t>resolution</t>
        </is>
      </c>
      <c r="J1" t="inlineStr">
        <is>
          <t>audit_note</t>
        </is>
      </c>
    </row>
    <row r="2">
      <c r="A2" t="inlineStr">
        <is>
          <t>risk-0001</t>
        </is>
      </c>
      <c r="B2" t="inlineStr">
        <is>
          <t>2026-06-10</t>
        </is>
      </c>
      <c r="C2" t="inlineStr">
        <is>
          <t>case-0001</t>
        </is>
      </c>
      <c r="D2" t="inlineStr">
        <is>
          <t>prov-004</t>
        </is>
      </c>
      <c r="E2" t="inlineStr">
        <is>
          <t>insurance_pending</t>
        </is>
      </c>
      <c r="F2" t="inlineStr">
        <is>
          <t>medium</t>
        </is>
      </c>
      <c r="G2" t="inlineStr">
        <is>
          <t>Ops</t>
        </is>
      </c>
      <c r="H2" t="inlineStr">
        <is>
          <t>watch</t>
        </is>
      </c>
      <c r="I2" t="inlineStr">
        <is>
          <t>Provider excluded until insurance is verified.</t>
        </is>
      </c>
      <c r="J2" t="inlineStr">
        <is>
          <t>Do not assign paid cases.</t>
        </is>
      </c>
    </row>
  </sheetData>
</worksheet>
</file>